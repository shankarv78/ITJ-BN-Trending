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nkarvasudevan/claude-code/ITJ-BN-Trending/"/>
    </mc:Choice>
  </mc:AlternateContent>
  <xr:revisionPtr revIDLastSave="0" documentId="13_ncr:9_{7E4261E7-C09B-E443-8618-26AF173C25CE}" xr6:coauthVersionLast="47" xr6:coauthVersionMax="47" xr10:uidLastSave="{00000000-0000-0000-0000-000000000000}"/>
  <bookViews>
    <workbookView xWindow="140" yWindow="620" windowWidth="26740" windowHeight="16300" xr2:uid="{595E3155-48B0-C44E-9A2C-71D036DEA068}"/>
  </bookViews>
  <sheets>
    <sheet name="TOM_BASSO_POSITION_SIZ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40" i="1"/>
  <c r="B41" i="1" s="1"/>
  <c r="B45" i="1"/>
  <c r="B46" i="1"/>
  <c r="B58" i="1"/>
  <c r="B60" i="1"/>
  <c r="B62" i="1"/>
</calcChain>
</file>

<file path=xl/sharedStrings.xml><?xml version="1.0" encoding="utf-8"?>
<sst xmlns="http://schemas.openxmlformats.org/spreadsheetml/2006/main" count="133" uniqueCount="107">
  <si>
    <t>TOM BASSO POSITION SIZER</t>
  </si>
  <si>
    <t>PORTFOLIO PARAMETERS</t>
  </si>
  <si>
    <t>Current Equity (‚Çπ)</t>
  </si>
  <si>
    <t>Available Margin (‚Çπ)</t>
  </si>
  <si>
    <t>Initial Risk %</t>
  </si>
  <si>
    <t>Initial Volatility %</t>
  </si>
  <si>
    <t>Ongoing Risk %</t>
  </si>
  <si>
    <t>Ongoing Volatility %</t>
  </si>
  <si>
    <t>BANK NIFTY PARAMETERS</t>
  </si>
  <si>
    <t>Lot Size</t>
  </si>
  <si>
    <t>Point Value (‚Çπ per point per lot)</t>
  </si>
  <si>
    <t>Margin per Lot (‚Çπ)</t>
  </si>
  <si>
    <t>GOLD MINI PARAMETERS</t>
  </si>
  <si>
    <t>TRADINGVIEW SIGNAL DATA</t>
  </si>
  <si>
    <t>Signal Type (BASE_ENTRY/PYRAMID)</t>
  </si>
  <si>
    <t>BASE_ENTRY</t>
  </si>
  <si>
    <t>Instrument (BANK_NIFTY/GOLD_MINI)</t>
  </si>
  <si>
    <t>BANK_NIFTY</t>
  </si>
  <si>
    <t>Entry Price</t>
  </si>
  <si>
    <t>Stop Price (SuperTrend)</t>
  </si>
  <si>
    <t>ATR (Average True Range)</t>
  </si>
  <si>
    <t>ER (Efficiency Ratio)</t>
  </si>
  <si>
    <t>Base Position Size (for pyramids)</t>
  </si>
  <si>
    <t>Profit After Base Risk (for pyramids)</t>
  </si>
  <si>
    <t>CALCULATIONS</t>
  </si>
  <si>
    <t>Selected Instrument</t>
  </si>
  <si>
    <t>=IF(B23="BANK_NIFTY"</t>
  </si>
  <si>
    <t>IF(B23="GOLD_MINI"</t>
  </si>
  <si>
    <t>GOLD_MINI</t>
  </si>
  <si>
    <t>))</t>
  </si>
  <si>
    <t>=IF(B32="BANK_NIFTY"</t>
  </si>
  <si>
    <t>B12</t>
  </si>
  <si>
    <t>IF(B32="GOLD_MINI"</t>
  </si>
  <si>
    <t>C17</t>
  </si>
  <si>
    <t>0))</t>
  </si>
  <si>
    <t>Point Value</t>
  </si>
  <si>
    <t>B13</t>
  </si>
  <si>
    <t>C18</t>
  </si>
  <si>
    <t>Margin per Lot</t>
  </si>
  <si>
    <t>B14</t>
  </si>
  <si>
    <t>C19</t>
  </si>
  <si>
    <t>CONSTRAINT 1: RISK-BASED (Lot-R)</t>
  </si>
  <si>
    <t>Risk Amount (‚Çπ)</t>
  </si>
  <si>
    <t>Risk per Point</t>
  </si>
  <si>
    <t>Risk per Lot (‚Çπ)</t>
  </si>
  <si>
    <t>Lot-R (Risk-based)</t>
  </si>
  <si>
    <t>=IF(B42&gt;0</t>
  </si>
  <si>
    <t>(B40/B42)*B27</t>
  </si>
  <si>
    <t>0)</t>
  </si>
  <si>
    <t>CONSTRAINT 2: VOLATILITY-BASED (Lot-V)</t>
  </si>
  <si>
    <t>Volatility Budget (‚Çπ)</t>
  </si>
  <si>
    <t>Volatility per Lot (‚Çπ)</t>
  </si>
  <si>
    <t>Lot-V (Volatility-based)</t>
  </si>
  <si>
    <t>=IF(B47&gt;0</t>
  </si>
  <si>
    <t>B46/B47</t>
  </si>
  <si>
    <t>CONSTRAINT 3: MARGIN-BASED (Lot-M)</t>
  </si>
  <si>
    <t>Lot-M (Margin-based)</t>
  </si>
  <si>
    <t>=IF(B37&gt;0</t>
  </si>
  <si>
    <t>B5/B37</t>
  </si>
  <si>
    <t>FINAL POSITION SIZE</t>
  </si>
  <si>
    <t>Minimum Constraint</t>
  </si>
  <si>
    <t>=MIN(B43</t>
  </si>
  <si>
    <t>B48</t>
  </si>
  <si>
    <t>B51)</t>
  </si>
  <si>
    <t>Final Lots (FLOOR)</t>
  </si>
  <si>
    <t>=FLOOR(B54</t>
  </si>
  <si>
    <t>1)</t>
  </si>
  <si>
    <t>Limiting Factor</t>
  </si>
  <si>
    <t>=IF(B55=0</t>
  </si>
  <si>
    <t>INVALID</t>
  </si>
  <si>
    <t>IF(B54=B43</t>
  </si>
  <si>
    <t>RISK</t>
  </si>
  <si>
    <t>IF(B54=B48</t>
  </si>
  <si>
    <t>VOLATILITY</t>
  </si>
  <si>
    <t>MARGIN)))</t>
  </si>
  <si>
    <t>RISK METRICS</t>
  </si>
  <si>
    <t>Risk per Trade (‚Çπ)</t>
  </si>
  <si>
    <t>Risk % of Equity</t>
  </si>
  <si>
    <t>=IF(B4&gt;0</t>
  </si>
  <si>
    <t>(B59/B4)*100</t>
  </si>
  <si>
    <t>Volatility per Trade (‚Çπ)</t>
  </si>
  <si>
    <t>Volatility % of Equity</t>
  </si>
  <si>
    <t>(B61/B4)*100</t>
  </si>
  <si>
    <t>Margin Used (‚Çπ)</t>
  </si>
  <si>
    <t>Margin % of Available</t>
  </si>
  <si>
    <t>=IF(B5&gt;0</t>
  </si>
  <si>
    <t>(B63/B5)*100</t>
  </si>
  <si>
    <t>PYRAMID ENTRY (if signal_type = PYRAMID)</t>
  </si>
  <si>
    <t>Constraint A: Margin Safety</t>
  </si>
  <si>
    <t>=FLOOR(B5/B37</t>
  </si>
  <si>
    <t>Constraint B: 50% of Base</t>
  </si>
  <si>
    <t>=FLOOR(B28*0.5</t>
  </si>
  <si>
    <t>Constraint C: Risk Budget (50% of profit)</t>
  </si>
  <si>
    <t>=IF(B41&gt;0</t>
  </si>
  <si>
    <t>FLOOR((B29*0.5)/(B41*B36)</t>
  </si>
  <si>
    <t>Pyramid Final Lots</t>
  </si>
  <si>
    <t>=FLOOR(MIN(B67</t>
  </si>
  <si>
    <t>B68</t>
  </si>
  <si>
    <t>B69)</t>
  </si>
  <si>
    <t>Pyramid Limiter</t>
  </si>
  <si>
    <t>=IF(B70=0</t>
  </si>
  <si>
    <t>IF(MIN(B67</t>
  </si>
  <si>
    <t>B69)=B67</t>
  </si>
  <si>
    <t>MARGIN</t>
  </si>
  <si>
    <t>B69)=B68</t>
  </si>
  <si>
    <t>50%_RULE</t>
  </si>
  <si>
    <t>RISK_BUDGET)))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</si>
</sst>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756F-4365-0E4D-89AF-1F42852388FF}">
  <dimension ref="A1:L70"/>
  <sheetViews>
    <sheetView tabSelected="1" topLeftCell="A46" workbookViewId="0">
      <selection activeCell="L79" sqref="L79"/>
    </sheetView>
  </sheetViews>
  <sheetFormatPr baseColWidth="10" defaultRowHeight="16" x14ac:dyDescent="0.2"/>
  <cols>
    <col min="1" max="1" width="36.1640625" bestFit="1" customWidth="1"/>
    <col min="2" max="2" width="20" bestFit="1" customWidth="1"/>
  </cols>
  <sheetData>
    <row r="1" spans="1:2" x14ac:dyDescent="0.2">
      <c r="A1" t="s">
        <v>0</v>
      </c>
    </row>
    <row r="3" spans="1:2" x14ac:dyDescent="0.2">
      <c r="A3" t="s">
        <v>1</v>
      </c>
    </row>
    <row r="4" spans="1:2" x14ac:dyDescent="0.2">
      <c r="A4" t="s">
        <v>2</v>
      </c>
      <c r="B4">
        <v>5000000</v>
      </c>
    </row>
    <row r="5" spans="1:2" x14ac:dyDescent="0.2">
      <c r="A5" t="s">
        <v>3</v>
      </c>
      <c r="B5">
        <v>3000000</v>
      </c>
    </row>
    <row r="6" spans="1:2" x14ac:dyDescent="0.2">
      <c r="A6" t="s">
        <v>4</v>
      </c>
      <c r="B6">
        <v>0.5</v>
      </c>
    </row>
    <row r="7" spans="1:2" x14ac:dyDescent="0.2">
      <c r="A7" t="s">
        <v>5</v>
      </c>
      <c r="B7">
        <v>0.2</v>
      </c>
    </row>
    <row r="8" spans="1:2" x14ac:dyDescent="0.2">
      <c r="A8" t="s">
        <v>6</v>
      </c>
      <c r="B8">
        <v>1</v>
      </c>
    </row>
    <row r="9" spans="1:2" x14ac:dyDescent="0.2">
      <c r="A9" t="s">
        <v>7</v>
      </c>
      <c r="B9">
        <v>0.5</v>
      </c>
    </row>
    <row r="11" spans="1:2" x14ac:dyDescent="0.2">
      <c r="A11" t="s">
        <v>8</v>
      </c>
    </row>
    <row r="12" spans="1:2" x14ac:dyDescent="0.2">
      <c r="A12" t="s">
        <v>9</v>
      </c>
      <c r="B12">
        <v>30</v>
      </c>
    </row>
    <row r="13" spans="1:2" x14ac:dyDescent="0.2">
      <c r="A13" t="s">
        <v>10</v>
      </c>
      <c r="B13">
        <v>30</v>
      </c>
    </row>
    <row r="14" spans="1:2" x14ac:dyDescent="0.2">
      <c r="A14" t="s">
        <v>11</v>
      </c>
      <c r="B14">
        <v>270000</v>
      </c>
    </row>
    <row r="16" spans="1:2" x14ac:dyDescent="0.2">
      <c r="A16" t="s">
        <v>12</v>
      </c>
    </row>
    <row r="17" spans="1:6" x14ac:dyDescent="0.2">
      <c r="A17" t="s">
        <v>9</v>
      </c>
      <c r="B17">
        <v>100</v>
      </c>
    </row>
    <row r="18" spans="1:6" x14ac:dyDescent="0.2">
      <c r="A18" t="s">
        <v>10</v>
      </c>
      <c r="B18">
        <v>10</v>
      </c>
    </row>
    <row r="19" spans="1:6" x14ac:dyDescent="0.2">
      <c r="A19" t="s">
        <v>11</v>
      </c>
      <c r="B19">
        <v>105000</v>
      </c>
    </row>
    <row r="21" spans="1:6" x14ac:dyDescent="0.2">
      <c r="A21" t="s">
        <v>13</v>
      </c>
    </row>
    <row r="22" spans="1:6" x14ac:dyDescent="0.2">
      <c r="A22" t="s">
        <v>14</v>
      </c>
      <c r="B22" t="s">
        <v>15</v>
      </c>
    </row>
    <row r="23" spans="1:6" x14ac:dyDescent="0.2">
      <c r="A23" t="s">
        <v>16</v>
      </c>
      <c r="B23" t="s">
        <v>17</v>
      </c>
    </row>
    <row r="24" spans="1:6" x14ac:dyDescent="0.2">
      <c r="A24" t="s">
        <v>18</v>
      </c>
      <c r="B24">
        <v>52000</v>
      </c>
    </row>
    <row r="25" spans="1:6" x14ac:dyDescent="0.2">
      <c r="A25" t="s">
        <v>19</v>
      </c>
      <c r="B25">
        <v>51650</v>
      </c>
    </row>
    <row r="26" spans="1:6" x14ac:dyDescent="0.2">
      <c r="A26" t="s">
        <v>20</v>
      </c>
      <c r="B26">
        <v>350</v>
      </c>
    </row>
    <row r="27" spans="1:6" x14ac:dyDescent="0.2">
      <c r="A27" t="s">
        <v>21</v>
      </c>
      <c r="B27">
        <v>0.82</v>
      </c>
    </row>
    <row r="28" spans="1:6" x14ac:dyDescent="0.2">
      <c r="A28" t="s">
        <v>22</v>
      </c>
      <c r="B28">
        <v>1</v>
      </c>
    </row>
    <row r="29" spans="1:6" x14ac:dyDescent="0.2">
      <c r="A29" t="s">
        <v>23</v>
      </c>
      <c r="B29">
        <v>50000</v>
      </c>
    </row>
    <row r="31" spans="1:6" x14ac:dyDescent="0.2">
      <c r="A31" t="s">
        <v>24</v>
      </c>
    </row>
    <row r="32" spans="1:6" x14ac:dyDescent="0.2">
      <c r="A32" t="s">
        <v>25</v>
      </c>
      <c r="B32" t="s">
        <v>26</v>
      </c>
      <c r="C32" t="s">
        <v>17</v>
      </c>
      <c r="D32" t="s">
        <v>27</v>
      </c>
      <c r="E32" t="s">
        <v>28</v>
      </c>
      <c r="F32" t="s">
        <v>29</v>
      </c>
    </row>
    <row r="34" spans="1:6" x14ac:dyDescent="0.2">
      <c r="A34" t="s">
        <v>9</v>
      </c>
      <c r="B34" t="s">
        <v>30</v>
      </c>
      <c r="C34" t="s">
        <v>31</v>
      </c>
      <c r="D34" t="s">
        <v>32</v>
      </c>
      <c r="E34" t="s">
        <v>33</v>
      </c>
      <c r="F34" t="s">
        <v>34</v>
      </c>
    </row>
    <row r="35" spans="1:6" x14ac:dyDescent="0.2">
      <c r="A35" t="s">
        <v>35</v>
      </c>
      <c r="B35" t="s">
        <v>30</v>
      </c>
      <c r="C35" t="s">
        <v>36</v>
      </c>
      <c r="D35" t="s">
        <v>32</v>
      </c>
      <c r="E35" t="s">
        <v>37</v>
      </c>
      <c r="F35" t="s">
        <v>34</v>
      </c>
    </row>
    <row r="36" spans="1:6" x14ac:dyDescent="0.2">
      <c r="A36" t="s">
        <v>38</v>
      </c>
      <c r="B36" t="s">
        <v>30</v>
      </c>
      <c r="C36" t="s">
        <v>39</v>
      </c>
      <c r="D36" t="s">
        <v>32</v>
      </c>
      <c r="E36" t="s">
        <v>40</v>
      </c>
      <c r="F36" t="s">
        <v>34</v>
      </c>
    </row>
    <row r="38" spans="1:6" x14ac:dyDescent="0.2">
      <c r="A38" t="s">
        <v>41</v>
      </c>
    </row>
    <row r="39" spans="1:6" x14ac:dyDescent="0.2">
      <c r="A39" t="s">
        <v>42</v>
      </c>
      <c r="B39">
        <f>B4*B6/100</f>
        <v>25000</v>
      </c>
    </row>
    <row r="40" spans="1:6" x14ac:dyDescent="0.2">
      <c r="A40" t="s">
        <v>43</v>
      </c>
      <c r="B40">
        <f>B24-B25</f>
        <v>350</v>
      </c>
    </row>
    <row r="41" spans="1:6" x14ac:dyDescent="0.2">
      <c r="A41" t="s">
        <v>44</v>
      </c>
      <c r="B41" t="e">
        <f>B40*B36</f>
        <v>#VALUE!</v>
      </c>
    </row>
    <row r="42" spans="1:6" x14ac:dyDescent="0.2">
      <c r="A42" t="s">
        <v>45</v>
      </c>
      <c r="B42" t="s">
        <v>46</v>
      </c>
      <c r="C42" t="s">
        <v>47</v>
      </c>
      <c r="D42" t="s">
        <v>48</v>
      </c>
    </row>
    <row r="44" spans="1:6" x14ac:dyDescent="0.2">
      <c r="A44" t="s">
        <v>49</v>
      </c>
    </row>
    <row r="45" spans="1:6" x14ac:dyDescent="0.2">
      <c r="A45" t="s">
        <v>50</v>
      </c>
      <c r="B45">
        <f>B4*B7/100</f>
        <v>10000</v>
      </c>
    </row>
    <row r="46" spans="1:6" x14ac:dyDescent="0.2">
      <c r="A46" t="s">
        <v>51</v>
      </c>
      <c r="B46" t="e">
        <f>B26*B36</f>
        <v>#VALUE!</v>
      </c>
    </row>
    <row r="47" spans="1:6" x14ac:dyDescent="0.2">
      <c r="A47" t="s">
        <v>52</v>
      </c>
      <c r="B47" t="s">
        <v>53</v>
      </c>
      <c r="C47" t="s">
        <v>54</v>
      </c>
      <c r="D47" t="s">
        <v>48</v>
      </c>
    </row>
    <row r="49" spans="1:8" x14ac:dyDescent="0.2">
      <c r="A49" t="s">
        <v>55</v>
      </c>
    </row>
    <row r="50" spans="1:8" x14ac:dyDescent="0.2">
      <c r="A50" t="s">
        <v>56</v>
      </c>
      <c r="B50" t="s">
        <v>57</v>
      </c>
      <c r="C50" t="s">
        <v>58</v>
      </c>
      <c r="D50" t="s">
        <v>48</v>
      </c>
    </row>
    <row r="52" spans="1:8" x14ac:dyDescent="0.2">
      <c r="A52" t="s">
        <v>59</v>
      </c>
    </row>
    <row r="53" spans="1:8" x14ac:dyDescent="0.2">
      <c r="A53" t="s">
        <v>60</v>
      </c>
      <c r="B53" t="s">
        <v>61</v>
      </c>
      <c r="C53" t="s">
        <v>62</v>
      </c>
      <c r="D53" t="s">
        <v>63</v>
      </c>
    </row>
    <row r="54" spans="1:8" x14ac:dyDescent="0.2">
      <c r="A54" t="s">
        <v>64</v>
      </c>
      <c r="B54" t="s">
        <v>65</v>
      </c>
      <c r="C54" t="s">
        <v>66</v>
      </c>
    </row>
    <row r="55" spans="1:8" x14ac:dyDescent="0.2">
      <c r="A55" t="s">
        <v>67</v>
      </c>
      <c r="B55" t="s">
        <v>68</v>
      </c>
      <c r="C55" t="s">
        <v>69</v>
      </c>
      <c r="D55" t="s">
        <v>70</v>
      </c>
      <c r="E55" t="s">
        <v>71</v>
      </c>
      <c r="F55" t="s">
        <v>72</v>
      </c>
      <c r="G55" t="s">
        <v>73</v>
      </c>
      <c r="H55" t="s">
        <v>74</v>
      </c>
    </row>
    <row r="57" spans="1:8" x14ac:dyDescent="0.2">
      <c r="A57" t="s">
        <v>75</v>
      </c>
    </row>
    <row r="58" spans="1:8" x14ac:dyDescent="0.2">
      <c r="A58" t="s">
        <v>76</v>
      </c>
      <c r="B58" t="e">
        <f>B55*B42</f>
        <v>#VALUE!</v>
      </c>
    </row>
    <row r="59" spans="1:8" x14ac:dyDescent="0.2">
      <c r="A59" t="s">
        <v>77</v>
      </c>
      <c r="B59" t="s">
        <v>78</v>
      </c>
      <c r="C59" t="s">
        <v>79</v>
      </c>
      <c r="D59" t="s">
        <v>48</v>
      </c>
    </row>
    <row r="60" spans="1:8" x14ac:dyDescent="0.2">
      <c r="A60" t="s">
        <v>80</v>
      </c>
      <c r="B60" t="e">
        <f>B55*B47</f>
        <v>#VALUE!</v>
      </c>
    </row>
    <row r="61" spans="1:8" x14ac:dyDescent="0.2">
      <c r="A61" t="s">
        <v>81</v>
      </c>
      <c r="B61" t="s">
        <v>78</v>
      </c>
      <c r="C61" t="s">
        <v>82</v>
      </c>
      <c r="D61" t="s">
        <v>48</v>
      </c>
    </row>
    <row r="62" spans="1:8" x14ac:dyDescent="0.2">
      <c r="A62" t="s">
        <v>83</v>
      </c>
      <c r="B62" t="e">
        <f>B55*B37</f>
        <v>#VALUE!</v>
      </c>
    </row>
    <row r="63" spans="1:8" x14ac:dyDescent="0.2">
      <c r="A63" t="s">
        <v>84</v>
      </c>
      <c r="B63" t="s">
        <v>85</v>
      </c>
      <c r="C63" t="s">
        <v>86</v>
      </c>
      <c r="D63" t="s">
        <v>48</v>
      </c>
    </row>
    <row r="65" spans="1:12" x14ac:dyDescent="0.2">
      <c r="A65" t="s">
        <v>87</v>
      </c>
    </row>
    <row r="66" spans="1:12" x14ac:dyDescent="0.2">
      <c r="A66" t="s">
        <v>88</v>
      </c>
      <c r="B66" t="s">
        <v>89</v>
      </c>
      <c r="C66" t="s">
        <v>66</v>
      </c>
    </row>
    <row r="67" spans="1:12" x14ac:dyDescent="0.2">
      <c r="A67" t="s">
        <v>90</v>
      </c>
      <c r="B67" t="s">
        <v>91</v>
      </c>
      <c r="C67" t="s">
        <v>66</v>
      </c>
    </row>
    <row r="68" spans="1:12" x14ac:dyDescent="0.2">
      <c r="A68" t="s">
        <v>92</v>
      </c>
      <c r="B68" t="s">
        <v>93</v>
      </c>
      <c r="C68" t="s">
        <v>94</v>
      </c>
      <c r="D68" t="s">
        <v>66</v>
      </c>
      <c r="E68" t="s">
        <v>48</v>
      </c>
    </row>
    <row r="69" spans="1:12" x14ac:dyDescent="0.2">
      <c r="A69" t="s">
        <v>95</v>
      </c>
      <c r="B69" t="s">
        <v>96</v>
      </c>
      <c r="C69" t="s">
        <v>97</v>
      </c>
      <c r="D69" t="s">
        <v>98</v>
      </c>
      <c r="E69" t="s">
        <v>66</v>
      </c>
    </row>
    <row r="70" spans="1:12" x14ac:dyDescent="0.2">
      <c r="A70" t="s">
        <v>99</v>
      </c>
      <c r="B70" t="s">
        <v>100</v>
      </c>
      <c r="C70" t="s">
        <v>69</v>
      </c>
      <c r="D70" t="s">
        <v>101</v>
      </c>
      <c r="E70" t="s">
        <v>97</v>
      </c>
      <c r="F70" t="s">
        <v>102</v>
      </c>
      <c r="G70" t="s">
        <v>103</v>
      </c>
      <c r="H70" t="s">
        <v>101</v>
      </c>
      <c r="I70" t="s">
        <v>97</v>
      </c>
      <c r="J70" t="s">
        <v>104</v>
      </c>
      <c r="K70" t="s">
        <v>105</v>
      </c>
      <c r="L70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TOM_BASSO_POSITION_SIZER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Vasudevan</dc:creator>
  <cp:lastModifiedBy>Shankar Vasudevan</cp:lastModifiedBy>
  <dcterms:created xsi:type="dcterms:W3CDTF">2025-12-02T18:08:10Z</dcterms:created>
  <dcterms:modified xsi:type="dcterms:W3CDTF">2025-12-02T18:09:28Z</dcterms:modified>
</cp:coreProperties>
</file>